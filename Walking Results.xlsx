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jjv20_fsu_edu/Documents/SP25/EML5832_BioRoboticLoco/"/>
    </mc:Choice>
  </mc:AlternateContent>
  <xr:revisionPtr revIDLastSave="0" documentId="8_{21EA7AC6-7C61-47D0-B6DE-1728C4F10A2C}" xr6:coauthVersionLast="47" xr6:coauthVersionMax="47" xr10:uidLastSave="{00000000-0000-0000-0000-000000000000}"/>
  <bookViews>
    <workbookView xWindow="9510" yWindow="0" windowWidth="9780" windowHeight="10170" xr2:uid="{5922314E-9D98-48F1-8D2F-EC9CCC852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9" i="1"/>
  <c r="F6" i="1"/>
  <c r="G3" i="1"/>
  <c r="G4" i="1"/>
  <c r="G2" i="1"/>
  <c r="F3" i="1"/>
  <c r="F4" i="1"/>
  <c r="F2" i="1"/>
  <c r="E3" i="1"/>
  <c r="E4" i="1"/>
  <c r="E2" i="1"/>
  <c r="D2" i="1" a="1"/>
  <c r="D2" i="1" s="1"/>
  <c r="C3" i="1"/>
  <c r="C4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<sst xmlns="http://schemas.openxmlformats.org/spreadsheetml/2006/main" count="18" uniqueCount="17">
  <si>
    <t>Normal</t>
  </si>
  <si>
    <t>Fast</t>
  </si>
  <si>
    <t>Jog</t>
  </si>
  <si>
    <t>Transition F</t>
  </si>
  <si>
    <t>V</t>
  </si>
  <si>
    <t># Strides</t>
  </si>
  <si>
    <t>Stride freq</t>
  </si>
  <si>
    <t>stride length</t>
  </si>
  <si>
    <t>Froude</t>
  </si>
  <si>
    <t>Duty Factor</t>
  </si>
  <si>
    <t>Bent Knee</t>
  </si>
  <si>
    <t>Wide Foot</t>
  </si>
  <si>
    <t>Gait</t>
  </si>
  <si>
    <t>Sideways</t>
  </si>
  <si>
    <t>Speed</t>
  </si>
  <si>
    <t>Footfall Pattern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</si>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</sst>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418E-126A-46E0-882D-99402737567A}">
  <dimension ref="B1:K11"/>
  <sheetViews>
    <sheetView tabSelected="1" workbookViewId="0">
      <selection activeCell="D12" sqref="D12"/>
    </sheetView>
  </sheetViews>
  <sheetFormatPr defaultRowHeight="14.5" x14ac:dyDescent="0.35"/>
  <cols>
    <col min="3" max="3" width="5.81640625" bestFit="1" customWidth="1"/>
    <col min="4" max="4" width="10.1796875" bestFit="1" customWidth="1"/>
    <col min="5" max="5" width="13.36328125" bestFit="1" customWidth="1"/>
    <col min="6" max="6" width="10.81640625" bestFit="1" customWidth="1"/>
    <col min="8" max="8" width="10.1796875" bestFit="1" customWidth="1"/>
  </cols>
  <sheetData>
    <row r="1" spans="2:11" x14ac:dyDescent="0.35"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J1">
        <v>0.88900000000000001</v>
      </c>
      <c r="K1">
        <v>1.7272000000000001</v>
      </c>
    </row>
    <row r="2" spans="2:11" x14ac:dyDescent="0.35">
      <c r="B2" t="s">
        <v>0</v>
      </c>
      <c r="C2" s="1">
        <f>K2/J2</f>
        <v>1.1299435028248588</v>
      </c>
      <c r="D2" s="1" cm="1">
        <f t="array" ref="D2:D4">I2:I4</f>
        <v>16</v>
      </c>
      <c r="E2" s="1">
        <f>I2/J2</f>
        <v>1.807909604519774</v>
      </c>
      <c r="F2" s="1">
        <f>K2/I2</f>
        <v>0.625</v>
      </c>
      <c r="G2" s="1">
        <f>(C2^2)/(9.81*$J$1)</f>
        <v>0.14640054392009619</v>
      </c>
      <c r="H2">
        <v>0.5</v>
      </c>
      <c r="I2">
        <v>16</v>
      </c>
      <c r="J2">
        <v>8.85</v>
      </c>
      <c r="K2">
        <v>10</v>
      </c>
    </row>
    <row r="3" spans="2:11" x14ac:dyDescent="0.35">
      <c r="B3" t="s">
        <v>1</v>
      </c>
      <c r="C3" s="1">
        <f t="shared" ref="C3:C4" si="0">K3/J3</f>
        <v>2.5773195876288661</v>
      </c>
      <c r="D3" s="1">
        <v>9</v>
      </c>
      <c r="E3" s="1">
        <f t="shared" ref="E3:E4" si="1">I3/J3</f>
        <v>2.3195876288659796</v>
      </c>
      <c r="F3" s="1">
        <f t="shared" ref="F3:F4" si="2">K3/I3</f>
        <v>1.1111111111111112</v>
      </c>
      <c r="G3" s="1">
        <f t="shared" ref="G3:G4" si="3">(C3^2)/(9.81*$J$1)</f>
        <v>0.76166812368355652</v>
      </c>
      <c r="H3">
        <v>0.4</v>
      </c>
      <c r="I3">
        <v>9</v>
      </c>
      <c r="J3">
        <v>3.88</v>
      </c>
      <c r="K3">
        <v>10</v>
      </c>
    </row>
    <row r="4" spans="2:11" x14ac:dyDescent="0.35">
      <c r="B4" t="s">
        <v>2</v>
      </c>
      <c r="C4" s="1">
        <f t="shared" si="0"/>
        <v>3.3333333333333335</v>
      </c>
      <c r="D4" s="1">
        <v>9</v>
      </c>
      <c r="E4" s="1">
        <f t="shared" si="1"/>
        <v>3</v>
      </c>
      <c r="F4" s="1">
        <f t="shared" si="2"/>
        <v>1.1111111111111112</v>
      </c>
      <c r="G4" s="1">
        <f t="shared" si="3"/>
        <v>1.2740507334646372</v>
      </c>
      <c r="H4">
        <v>0.25</v>
      </c>
      <c r="I4">
        <v>9</v>
      </c>
      <c r="J4">
        <v>3</v>
      </c>
      <c r="K4">
        <v>10</v>
      </c>
    </row>
    <row r="5" spans="2:11" x14ac:dyDescent="0.35">
      <c r="C5" s="1"/>
      <c r="D5" s="1"/>
      <c r="E5" s="1"/>
      <c r="F5" s="1"/>
      <c r="G5" s="1"/>
    </row>
    <row r="6" spans="2:11" x14ac:dyDescent="0.35">
      <c r="C6" s="1"/>
      <c r="D6" s="1"/>
      <c r="E6" s="1" t="s">
        <v>3</v>
      </c>
      <c r="F6" s="1">
        <f>AVERAGE(G3:G4)</f>
        <v>1.0178594285740967</v>
      </c>
      <c r="G6" s="1"/>
    </row>
    <row r="8" spans="2:11" x14ac:dyDescent="0.35">
      <c r="B8" s="2" t="s">
        <v>12</v>
      </c>
      <c r="C8" s="2" t="s">
        <v>14</v>
      </c>
      <c r="D8" s="2" t="s">
        <v>9</v>
      </c>
      <c r="E8" s="2" t="s">
        <v>15</v>
      </c>
      <c r="F8" s="2" t="s">
        <v>16</v>
      </c>
    </row>
    <row r="9" spans="2:11" x14ac:dyDescent="0.35">
      <c r="B9" t="s">
        <v>10</v>
      </c>
      <c r="C9">
        <f>I9/G9</f>
        <v>0.625</v>
      </c>
      <c r="D9">
        <v>0.6</v>
      </c>
      <c r="G9">
        <v>16</v>
      </c>
      <c r="H9">
        <v>7.88</v>
      </c>
      <c r="I9">
        <v>10</v>
      </c>
    </row>
    <row r="10" spans="2:11" x14ac:dyDescent="0.35">
      <c r="B10" t="s">
        <v>11</v>
      </c>
      <c r="C10">
        <f t="shared" ref="C10:C11" si="4">I10/G10</f>
        <v>0.83333333333333337</v>
      </c>
      <c r="D10">
        <v>0.75</v>
      </c>
      <c r="G10">
        <v>12</v>
      </c>
      <c r="H10">
        <v>6.91</v>
      </c>
      <c r="I10">
        <v>10</v>
      </c>
    </row>
    <row r="11" spans="2:11" x14ac:dyDescent="0.35">
      <c r="B11" t="s">
        <v>13</v>
      </c>
      <c r="C11">
        <f t="shared" si="4"/>
        <v>0.27777777777777779</v>
      </c>
      <c r="D11">
        <v>0.9</v>
      </c>
      <c r="G11">
        <v>36</v>
      </c>
      <c r="H11">
        <v>21.9</v>
      </c>
      <c r="I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Vranicar</dc:creator>
  <cp:lastModifiedBy>Jack Vranicar</cp:lastModifiedBy>
  <dcterms:created xsi:type="dcterms:W3CDTF">2025-02-07T21:58:56Z</dcterms:created>
  <dcterms:modified xsi:type="dcterms:W3CDTF">2025-02-07T22:18:47Z</dcterms:modified>
</cp:coreProperties>
</file>